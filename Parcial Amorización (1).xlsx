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0" documentId="8_{1840DDD3-59EA-41B9-8B32-64BB327AA53A}" xr6:coauthVersionLast="47" xr6:coauthVersionMax="47" xr10:uidLastSave="{00000000-0000-0000-0000-000000000000}"/>
  <bookViews>
    <workbookView xWindow="-120" yWindow="-120" windowWidth="29040" windowHeight="15720" xr2:uid="{34FCE112-B23B-4540-A189-B761B58D3A4D}"/>
  </bookViews>
  <sheets>
    <sheet name="Parcial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2" i="1" l="1"/>
  <c r="J49" i="1"/>
  <c r="J46" i="1"/>
  <c r="J43" i="1"/>
  <c r="J40" i="1"/>
  <c r="J37" i="1"/>
  <c r="J34" i="1"/>
  <c r="J31" i="1"/>
  <c r="J28" i="1"/>
  <c r="J26" i="1"/>
  <c r="J25" i="1"/>
  <c r="L23" i="1"/>
  <c r="K24" i="1" s="1"/>
  <c r="E23" i="1"/>
  <c r="B20" i="1"/>
  <c r="J53" i="1" s="1"/>
  <c r="B17" i="1"/>
  <c r="F17" i="1" s="1"/>
  <c r="F18" i="1" s="1"/>
  <c r="F19" i="1" s="1"/>
  <c r="F21" i="1" s="1"/>
  <c r="F14" i="1" l="1"/>
  <c r="D24" i="1"/>
  <c r="J24" i="1"/>
  <c r="J27" i="1"/>
  <c r="J30" i="1"/>
  <c r="J33" i="1"/>
  <c r="J36" i="1"/>
  <c r="J39" i="1"/>
  <c r="J42" i="1"/>
  <c r="J45" i="1"/>
  <c r="J48" i="1"/>
  <c r="J51" i="1"/>
  <c r="J29" i="1"/>
  <c r="J32" i="1"/>
  <c r="J35" i="1"/>
  <c r="J38" i="1"/>
  <c r="J41" i="1"/>
  <c r="J44" i="1"/>
  <c r="J47" i="1"/>
  <c r="J50" i="1"/>
  <c r="L24" i="1" l="1"/>
  <c r="I24" i="1"/>
  <c r="B28" i="1"/>
  <c r="B25" i="1"/>
  <c r="B27" i="1"/>
  <c r="B29" i="1"/>
  <c r="B26" i="1"/>
  <c r="F15" i="1"/>
  <c r="B24" i="1"/>
  <c r="C24" i="1" s="1"/>
  <c r="E24" i="1" s="1"/>
  <c r="E25" i="1" l="1"/>
  <c r="D25" i="1"/>
  <c r="B42" i="1"/>
  <c r="B33" i="1"/>
  <c r="B36" i="1"/>
  <c r="B40" i="1"/>
  <c r="B37" i="1"/>
  <c r="B34" i="1"/>
  <c r="B31" i="1"/>
  <c r="B30" i="1"/>
  <c r="B39" i="1"/>
  <c r="B41" i="1"/>
  <c r="B38" i="1"/>
  <c r="B35" i="1"/>
  <c r="B32" i="1"/>
  <c r="C25" i="1"/>
  <c r="L25" i="1"/>
  <c r="K25" i="1"/>
  <c r="I25" i="1" s="1"/>
  <c r="D26" i="1" l="1"/>
  <c r="C26" i="1" s="1"/>
  <c r="E26" i="1" s="1"/>
  <c r="L26" i="1"/>
  <c r="K26" i="1"/>
  <c r="I26" i="1" s="1"/>
  <c r="B51" i="1"/>
  <c r="B52" i="1"/>
  <c r="B49" i="1"/>
  <c r="B46" i="1"/>
  <c r="B43" i="1"/>
  <c r="B48" i="1"/>
  <c r="B53" i="1"/>
  <c r="B50" i="1"/>
  <c r="B47" i="1"/>
  <c r="B44" i="1"/>
  <c r="B45" i="1"/>
  <c r="E27" i="1" l="1"/>
  <c r="D27" i="1"/>
  <c r="C27" i="1" s="1"/>
  <c r="L27" i="1"/>
  <c r="K27" i="1"/>
  <c r="I27" i="1" s="1"/>
  <c r="D28" i="1" l="1"/>
  <c r="C28" i="1" s="1"/>
  <c r="E28" i="1" s="1"/>
  <c r="L28" i="1"/>
  <c r="K28" i="1"/>
  <c r="I28" i="1" s="1"/>
  <c r="D29" i="1" l="1"/>
  <c r="L29" i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K29" i="1"/>
  <c r="K30" i="1" l="1"/>
  <c r="I29" i="1"/>
  <c r="D30" i="1"/>
  <c r="C29" i="1"/>
  <c r="E29" i="1" s="1"/>
  <c r="E30" i="1" l="1"/>
  <c r="D31" i="1"/>
  <c r="C30" i="1"/>
  <c r="K31" i="1"/>
  <c r="I30" i="1"/>
  <c r="E31" i="1" l="1"/>
  <c r="K32" i="1"/>
  <c r="I31" i="1"/>
  <c r="D32" i="1"/>
  <c r="C31" i="1"/>
  <c r="D33" i="1" l="1"/>
  <c r="C32" i="1"/>
  <c r="E32" i="1" s="1"/>
  <c r="K33" i="1"/>
  <c r="I32" i="1"/>
  <c r="K34" i="1" l="1"/>
  <c r="I33" i="1"/>
  <c r="D34" i="1"/>
  <c r="C33" i="1"/>
  <c r="E33" i="1" s="1"/>
  <c r="D35" i="1" l="1"/>
  <c r="C34" i="1"/>
  <c r="E34" i="1" s="1"/>
  <c r="K35" i="1"/>
  <c r="I34" i="1"/>
  <c r="K36" i="1" l="1"/>
  <c r="I35" i="1"/>
  <c r="D36" i="1"/>
  <c r="C35" i="1"/>
  <c r="E35" i="1" s="1"/>
  <c r="D37" i="1" l="1"/>
  <c r="C36" i="1"/>
  <c r="E36" i="1" s="1"/>
  <c r="K37" i="1"/>
  <c r="I36" i="1"/>
  <c r="E37" i="1" l="1"/>
  <c r="K38" i="1"/>
  <c r="I37" i="1"/>
  <c r="D38" i="1"/>
  <c r="C37" i="1"/>
  <c r="D39" i="1" l="1"/>
  <c r="C38" i="1"/>
  <c r="E38" i="1" s="1"/>
  <c r="K39" i="1"/>
  <c r="I38" i="1"/>
  <c r="D40" i="1" l="1"/>
  <c r="C39" i="1"/>
  <c r="E39" i="1" s="1"/>
  <c r="K40" i="1"/>
  <c r="I39" i="1"/>
  <c r="K41" i="1" l="1"/>
  <c r="I40" i="1"/>
  <c r="D41" i="1"/>
  <c r="C40" i="1"/>
  <c r="E40" i="1" s="1"/>
  <c r="D42" i="1" l="1"/>
  <c r="C41" i="1"/>
  <c r="E41" i="1" s="1"/>
  <c r="K42" i="1"/>
  <c r="I41" i="1"/>
  <c r="E42" i="1" l="1"/>
  <c r="K43" i="1"/>
  <c r="I42" i="1"/>
  <c r="D43" i="1"/>
  <c r="C42" i="1"/>
  <c r="E43" i="1" l="1"/>
  <c r="D44" i="1"/>
  <c r="C43" i="1"/>
  <c r="K44" i="1"/>
  <c r="I43" i="1"/>
  <c r="K45" i="1" l="1"/>
  <c r="I44" i="1"/>
  <c r="D45" i="1"/>
  <c r="C44" i="1"/>
  <c r="E44" i="1"/>
  <c r="E45" i="1" l="1"/>
  <c r="D46" i="1"/>
  <c r="C45" i="1"/>
  <c r="K46" i="1"/>
  <c r="I45" i="1"/>
  <c r="K47" i="1" l="1"/>
  <c r="I46" i="1"/>
  <c r="D47" i="1"/>
  <c r="C46" i="1"/>
  <c r="E46" i="1" s="1"/>
  <c r="D48" i="1" l="1"/>
  <c r="C47" i="1"/>
  <c r="E47" i="1" s="1"/>
  <c r="K48" i="1"/>
  <c r="I47" i="1"/>
  <c r="E48" i="1" l="1"/>
  <c r="K49" i="1"/>
  <c r="I48" i="1"/>
  <c r="D49" i="1"/>
  <c r="C48" i="1"/>
  <c r="D50" i="1" l="1"/>
  <c r="C49" i="1"/>
  <c r="K50" i="1"/>
  <c r="I49" i="1"/>
  <c r="E49" i="1"/>
  <c r="K51" i="1" l="1"/>
  <c r="I50" i="1"/>
  <c r="D51" i="1"/>
  <c r="C50" i="1"/>
  <c r="E50" i="1" s="1"/>
  <c r="E51" i="1" l="1"/>
  <c r="D52" i="1"/>
  <c r="C51" i="1"/>
  <c r="K52" i="1"/>
  <c r="I51" i="1"/>
  <c r="K53" i="1" l="1"/>
  <c r="I53" i="1" s="1"/>
  <c r="I52" i="1"/>
  <c r="D53" i="1"/>
  <c r="C53" i="1" s="1"/>
  <c r="C52" i="1"/>
  <c r="E52" i="1" s="1"/>
  <c r="E53" i="1" s="1"/>
</calcChain>
</file>

<file path=xl/sharedStrings.xml><?xml version="1.0" encoding="utf-8"?>
<sst xmlns="http://schemas.openxmlformats.org/spreadsheetml/2006/main" count="23" uniqueCount="16">
  <si>
    <t>Se aprueba un crédito bancario por $120.000.000, con un plazo de 30 meses y una tasa inicial del 14,2 % efectivo anual.
La tasa permanece constante durante cada periodo de seis meses. Al comenzar un nuevo semestre, se incrementa una sola vez en un 0,4 % respecto a la tasa aplicada durante el semestre anterior y permanece sin cambios durante los siguientes seis meses. Este incremento es porcentual y no corresponde a sumar directamente 0,4 puntos porcentuales a la tasa.
El crédito se amortiza mediante cuotas mensuales ordinarias de igual valor. Sin embargo, en los meses 10 y 20 se realiza un pago equivalente a una cuota y media.
Calcule el valor de la primera cuota y elabore la tabla de amortización completa del crédito.</t>
  </si>
  <si>
    <t>Prestamo</t>
  </si>
  <si>
    <t>n</t>
  </si>
  <si>
    <t>meses</t>
  </si>
  <si>
    <t>i</t>
  </si>
  <si>
    <t>EA</t>
  </si>
  <si>
    <t>EM</t>
  </si>
  <si>
    <t>6 meses</t>
  </si>
  <si>
    <t>Gradiente</t>
  </si>
  <si>
    <t>Aumenta</t>
  </si>
  <si>
    <t>Cuota mensual</t>
  </si>
  <si>
    <t>Amortización</t>
  </si>
  <si>
    <t>Cuota</t>
  </si>
  <si>
    <t>Capital</t>
  </si>
  <si>
    <t>Interes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</si>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</sst>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0.0%"/>
    <numFmt numFmtId="165" formatCode="0.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8" fontId="0" fillId="0" borderId="0" xfId="0" applyNumberFormat="1"/>
    <xf numFmtId="44" fontId="0" fillId="0" borderId="0" xfId="1" applyFont="1"/>
    <xf numFmtId="164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8" fontId="0" fillId="0" borderId="1" xfId="1" applyNumberFormat="1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82A5-F746-46F0-A2AA-A60D2FC59DDC}">
  <dimension ref="A2:L53"/>
  <sheetViews>
    <sheetView tabSelected="1" topLeftCell="A5" workbookViewId="0">
      <selection activeCell="H16" sqref="H16"/>
    </sheetView>
  </sheetViews>
  <sheetFormatPr baseColWidth="10" defaultRowHeight="15" x14ac:dyDescent="0.25"/>
  <cols>
    <col min="1" max="1" width="17.42578125" bestFit="1" customWidth="1"/>
    <col min="2" max="2" width="16.7109375" bestFit="1" customWidth="1"/>
    <col min="3" max="3" width="17.5703125" bestFit="1" customWidth="1"/>
    <col min="4" max="5" width="18.28515625" bestFit="1" customWidth="1"/>
    <col min="6" max="6" width="14.5703125" bestFit="1" customWidth="1"/>
    <col min="9" max="11" width="14.5703125" bestFit="1" customWidth="1"/>
    <col min="12" max="12" width="16.7109375" bestFit="1" customWidth="1"/>
  </cols>
  <sheetData>
    <row r="2" spans="1:10" ht="1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4" spans="1:10" x14ac:dyDescent="0.25">
      <c r="A14" s="2" t="s">
        <v>1</v>
      </c>
      <c r="B14" s="3">
        <v>120000000</v>
      </c>
      <c r="C14" s="2"/>
      <c r="F14" s="4">
        <f>PMT(B17,B15,-B14)</f>
        <v>4726671.4595376095</v>
      </c>
    </row>
    <row r="15" spans="1:10" x14ac:dyDescent="0.25">
      <c r="A15" s="2" t="s">
        <v>2</v>
      </c>
      <c r="B15" s="2">
        <v>30</v>
      </c>
      <c r="C15" s="2" t="s">
        <v>3</v>
      </c>
      <c r="F15" s="5">
        <f>F14/2</f>
        <v>2363335.7297688047</v>
      </c>
    </row>
    <row r="16" spans="1:10" x14ac:dyDescent="0.25">
      <c r="A16" s="2" t="s">
        <v>4</v>
      </c>
      <c r="B16" s="6">
        <v>0.14199999999999999</v>
      </c>
      <c r="C16" s="2" t="s">
        <v>5</v>
      </c>
    </row>
    <row r="17" spans="1:12" x14ac:dyDescent="0.25">
      <c r="A17" s="2" t="s">
        <v>4</v>
      </c>
      <c r="B17" s="7">
        <f>(1+B16)^(1/12)-1</f>
        <v>1.112653716075318E-2</v>
      </c>
      <c r="C17" s="2" t="s">
        <v>6</v>
      </c>
      <c r="D17" t="s">
        <v>7</v>
      </c>
      <c r="F17" s="8">
        <f>B17*(1+B18)</f>
        <v>1.1171043309396193E-2</v>
      </c>
    </row>
    <row r="18" spans="1:12" x14ac:dyDescent="0.25">
      <c r="A18" s="2" t="s">
        <v>8</v>
      </c>
      <c r="B18" s="6">
        <v>4.0000000000000001E-3</v>
      </c>
      <c r="C18" s="2" t="s">
        <v>9</v>
      </c>
      <c r="F18" s="8">
        <f>F17*(1+$B$18)</f>
        <v>1.1215727482633778E-2</v>
      </c>
    </row>
    <row r="19" spans="1:12" x14ac:dyDescent="0.25">
      <c r="A19" s="2" t="s">
        <v>10</v>
      </c>
      <c r="B19" s="6"/>
      <c r="C19" s="2"/>
      <c r="F19" s="8">
        <f>F18*(1+$B$18)</f>
        <v>1.1260590392564314E-2</v>
      </c>
    </row>
    <row r="20" spans="1:12" x14ac:dyDescent="0.25">
      <c r="A20" s="9" t="s">
        <v>11</v>
      </c>
      <c r="B20" s="10">
        <f>B14/B15</f>
        <v>4000000</v>
      </c>
      <c r="C20" s="9"/>
      <c r="F20" s="8"/>
    </row>
    <row r="21" spans="1:12" x14ac:dyDescent="0.25">
      <c r="F21" s="8">
        <f>F19*(1+$B$18)</f>
        <v>1.130563275413457E-2</v>
      </c>
    </row>
    <row r="22" spans="1:12" x14ac:dyDescent="0.25">
      <c r="A22" s="11" t="s">
        <v>2</v>
      </c>
      <c r="B22" s="11" t="s">
        <v>12</v>
      </c>
      <c r="C22" s="11" t="s">
        <v>13</v>
      </c>
      <c r="D22" s="11" t="s">
        <v>14</v>
      </c>
      <c r="E22" s="11" t="s">
        <v>15</v>
      </c>
      <c r="H22" s="11" t="s">
        <v>2</v>
      </c>
      <c r="I22" s="11" t="s">
        <v>12</v>
      </c>
      <c r="J22" s="11" t="s">
        <v>13</v>
      </c>
      <c r="K22" s="11" t="s">
        <v>14</v>
      </c>
      <c r="L22" s="11" t="s">
        <v>15</v>
      </c>
    </row>
    <row r="23" spans="1:12" x14ac:dyDescent="0.25">
      <c r="A23" s="2">
        <v>0</v>
      </c>
      <c r="B23" s="2"/>
      <c r="C23" s="2"/>
      <c r="D23" s="2"/>
      <c r="E23" s="12">
        <f>B14</f>
        <v>120000000</v>
      </c>
      <c r="H23" s="2">
        <v>0</v>
      </c>
      <c r="I23" s="2"/>
      <c r="J23" s="2"/>
      <c r="K23" s="2"/>
      <c r="L23" s="12">
        <f>B14</f>
        <v>120000000</v>
      </c>
    </row>
    <row r="24" spans="1:12" x14ac:dyDescent="0.25">
      <c r="A24" s="2">
        <v>1</v>
      </c>
      <c r="B24" s="13">
        <f>$F$14</f>
        <v>4726671.4595376095</v>
      </c>
      <c r="C24" s="13">
        <f>B24-D24</f>
        <v>3391487.000247228</v>
      </c>
      <c r="D24" s="12">
        <f>E23*$B$17</f>
        <v>1335184.4592903818</v>
      </c>
      <c r="E24" s="12">
        <f>E23-C24</f>
        <v>116608512.99975277</v>
      </c>
      <c r="H24" s="2">
        <v>1</v>
      </c>
      <c r="I24" s="3">
        <f>J24+K24</f>
        <v>5335184.4592903815</v>
      </c>
      <c r="J24" s="3">
        <f>$B$20</f>
        <v>4000000</v>
      </c>
      <c r="K24" s="12">
        <f>L23*$B$17</f>
        <v>1335184.4592903818</v>
      </c>
      <c r="L24" s="12">
        <f>L23-J24</f>
        <v>116000000</v>
      </c>
    </row>
    <row r="25" spans="1:12" x14ac:dyDescent="0.25">
      <c r="A25" s="2">
        <v>2</v>
      </c>
      <c r="B25" s="13">
        <f t="shared" ref="B25:B29" si="0">$F$14</f>
        <v>4726671.4595376095</v>
      </c>
      <c r="C25" s="13">
        <f>B25-D25</f>
        <v>3429222.5063856896</v>
      </c>
      <c r="D25" s="12">
        <f t="shared" ref="D25:D29" si="1">E24*$B$17</f>
        <v>1297448.9531519196</v>
      </c>
      <c r="E25" s="12">
        <f t="shared" ref="E25:E53" si="2">E24-C25</f>
        <v>113179290.49336709</v>
      </c>
      <c r="H25" s="2">
        <v>2</v>
      </c>
      <c r="I25" s="3">
        <f t="shared" ref="I25:I53" si="3">J25+K25</f>
        <v>5290678.3106473684</v>
      </c>
      <c r="J25" s="3">
        <f t="shared" ref="J25:J53" si="4">$B$20</f>
        <v>4000000</v>
      </c>
      <c r="K25" s="12">
        <f t="shared" ref="K25:K29" si="5">L24*$B$17</f>
        <v>1290678.3106473689</v>
      </c>
      <c r="L25" s="12">
        <f t="shared" ref="L25:L53" si="6">L24-J25</f>
        <v>112000000</v>
      </c>
    </row>
    <row r="26" spans="1:12" x14ac:dyDescent="0.25">
      <c r="A26" s="2">
        <v>3</v>
      </c>
      <c r="B26" s="13">
        <f t="shared" si="0"/>
        <v>4726671.4595376095</v>
      </c>
      <c r="C26" s="13">
        <f t="shared" ref="C26:C53" si="7">B26-D26</f>
        <v>3467377.8780354811</v>
      </c>
      <c r="D26" s="12">
        <f t="shared" si="1"/>
        <v>1259293.5815021282</v>
      </c>
      <c r="E26" s="12">
        <f t="shared" si="2"/>
        <v>109711912.61533161</v>
      </c>
      <c r="H26" s="2">
        <v>3</v>
      </c>
      <c r="I26" s="3">
        <f t="shared" si="3"/>
        <v>5246172.1620043563</v>
      </c>
      <c r="J26" s="3">
        <f t="shared" si="4"/>
        <v>4000000</v>
      </c>
      <c r="K26" s="12">
        <f t="shared" si="5"/>
        <v>1246172.1620043563</v>
      </c>
      <c r="L26" s="12">
        <f t="shared" si="6"/>
        <v>108000000</v>
      </c>
    </row>
    <row r="27" spans="1:12" x14ac:dyDescent="0.25">
      <c r="A27" s="2">
        <v>4</v>
      </c>
      <c r="B27" s="13">
        <f t="shared" si="0"/>
        <v>4726671.4595376095</v>
      </c>
      <c r="C27" s="13">
        <f t="shared" si="7"/>
        <v>3505957.7868458168</v>
      </c>
      <c r="D27" s="12">
        <f t="shared" si="1"/>
        <v>1220713.6726917927</v>
      </c>
      <c r="E27" s="12">
        <f t="shared" si="2"/>
        <v>106205954.82848579</v>
      </c>
      <c r="H27" s="2">
        <v>4</v>
      </c>
      <c r="I27" s="3">
        <f t="shared" si="3"/>
        <v>5201666.0133613432</v>
      </c>
      <c r="J27" s="3">
        <f t="shared" si="4"/>
        <v>4000000</v>
      </c>
      <c r="K27" s="12">
        <f t="shared" si="5"/>
        <v>1201666.0133613434</v>
      </c>
      <c r="L27" s="12">
        <f t="shared" si="6"/>
        <v>104000000</v>
      </c>
    </row>
    <row r="28" spans="1:12" x14ac:dyDescent="0.25">
      <c r="A28" s="2">
        <v>5</v>
      </c>
      <c r="B28" s="13">
        <f t="shared" si="0"/>
        <v>4726671.4595376095</v>
      </c>
      <c r="C28" s="13">
        <f t="shared" si="7"/>
        <v>3544966.9564451887</v>
      </c>
      <c r="D28" s="12">
        <f t="shared" si="1"/>
        <v>1181704.5030924208</v>
      </c>
      <c r="E28" s="12">
        <f t="shared" si="2"/>
        <v>102660987.8720406</v>
      </c>
      <c r="H28" s="2">
        <v>5</v>
      </c>
      <c r="I28" s="3">
        <f t="shared" si="3"/>
        <v>5157159.864718331</v>
      </c>
      <c r="J28" s="3">
        <f t="shared" si="4"/>
        <v>4000000</v>
      </c>
      <c r="K28" s="12">
        <f t="shared" si="5"/>
        <v>1157159.8647183308</v>
      </c>
      <c r="L28" s="12">
        <f t="shared" si="6"/>
        <v>100000000</v>
      </c>
    </row>
    <row r="29" spans="1:12" x14ac:dyDescent="0.25">
      <c r="A29" s="2">
        <v>6</v>
      </c>
      <c r="B29" s="13">
        <f t="shared" si="0"/>
        <v>4726671.4595376095</v>
      </c>
      <c r="C29" s="13">
        <f t="shared" si="7"/>
        <v>3584410.1630197181</v>
      </c>
      <c r="D29" s="12">
        <f t="shared" si="1"/>
        <v>1142261.2965178913</v>
      </c>
      <c r="E29" s="12">
        <f t="shared" si="2"/>
        <v>99076577.709020883</v>
      </c>
      <c r="H29" s="2">
        <v>6</v>
      </c>
      <c r="I29" s="3">
        <f t="shared" si="3"/>
        <v>5112653.7160753179</v>
      </c>
      <c r="J29" s="3">
        <f t="shared" si="4"/>
        <v>4000000</v>
      </c>
      <c r="K29" s="12">
        <f t="shared" si="5"/>
        <v>1112653.7160753179</v>
      </c>
      <c r="L29" s="12">
        <f t="shared" si="6"/>
        <v>96000000</v>
      </c>
    </row>
    <row r="30" spans="1:12" x14ac:dyDescent="0.25">
      <c r="A30" s="2">
        <v>7</v>
      </c>
      <c r="B30" s="13">
        <f>B29+F15</f>
        <v>7090007.1893064138</v>
      </c>
      <c r="C30" s="13">
        <f t="shared" si="7"/>
        <v>5935036.4800255261</v>
      </c>
      <c r="D30" s="12">
        <f>D29*(1+$B$17)</f>
        <v>1154970.7092808879</v>
      </c>
      <c r="E30" s="12">
        <f t="shared" si="2"/>
        <v>93141541.228995353</v>
      </c>
      <c r="H30" s="2">
        <v>7</v>
      </c>
      <c r="I30" s="3">
        <f t="shared" si="3"/>
        <v>5117104.3309396189</v>
      </c>
      <c r="J30" s="3">
        <f t="shared" si="4"/>
        <v>4000000</v>
      </c>
      <c r="K30" s="12">
        <f>K29*(1+$B$18)</f>
        <v>1117104.3309396191</v>
      </c>
      <c r="L30" s="12">
        <f t="shared" si="6"/>
        <v>92000000</v>
      </c>
    </row>
    <row r="31" spans="1:12" x14ac:dyDescent="0.25">
      <c r="A31" s="2">
        <v>8</v>
      </c>
      <c r="B31" s="13">
        <f>$B$29</f>
        <v>4726671.4595376095</v>
      </c>
      <c r="C31" s="13">
        <f t="shared" si="7"/>
        <v>3558849.9257403263</v>
      </c>
      <c r="D31" s="12">
        <f t="shared" ref="D31:D35" si="8">D30*(1+$B$17)</f>
        <v>1167821.5337972832</v>
      </c>
      <c r="E31" s="12">
        <f t="shared" si="2"/>
        <v>89582691.303255022</v>
      </c>
      <c r="H31" s="2">
        <v>8</v>
      </c>
      <c r="I31" s="3">
        <f t="shared" si="3"/>
        <v>5121572.7482633777</v>
      </c>
      <c r="J31" s="3">
        <f t="shared" si="4"/>
        <v>4000000</v>
      </c>
      <c r="K31" s="12">
        <f t="shared" ref="K31:K35" si="9">K30*(1+$B$18)</f>
        <v>1121572.7482633777</v>
      </c>
      <c r="L31" s="12">
        <f t="shared" si="6"/>
        <v>88000000</v>
      </c>
    </row>
    <row r="32" spans="1:12" x14ac:dyDescent="0.25">
      <c r="A32" s="2">
        <v>9</v>
      </c>
      <c r="B32" s="13">
        <f t="shared" ref="B32:B42" si="10">$B$29</f>
        <v>4726671.4595376095</v>
      </c>
      <c r="C32" s="13">
        <f t="shared" si="7"/>
        <v>3545856.1160474028</v>
      </c>
      <c r="D32" s="12">
        <f t="shared" si="8"/>
        <v>1180815.3434902064</v>
      </c>
      <c r="E32" s="12">
        <f t="shared" si="2"/>
        <v>86036835.187207624</v>
      </c>
      <c r="H32" s="2">
        <v>9</v>
      </c>
      <c r="I32" s="3">
        <f t="shared" si="3"/>
        <v>5126059.0392564312</v>
      </c>
      <c r="J32" s="3">
        <f t="shared" si="4"/>
        <v>4000000</v>
      </c>
      <c r="K32" s="12">
        <f t="shared" si="9"/>
        <v>1126059.0392564312</v>
      </c>
      <c r="L32" s="12">
        <f t="shared" si="6"/>
        <v>84000000</v>
      </c>
    </row>
    <row r="33" spans="1:12" x14ac:dyDescent="0.25">
      <c r="A33" s="2">
        <v>10</v>
      </c>
      <c r="B33" s="13">
        <f t="shared" si="10"/>
        <v>4726671.4595376095</v>
      </c>
      <c r="C33" s="13">
        <f t="shared" si="7"/>
        <v>3532717.7302480717</v>
      </c>
      <c r="D33" s="12">
        <f t="shared" si="8"/>
        <v>1193953.7292895378</v>
      </c>
      <c r="E33" s="12">
        <f t="shared" si="2"/>
        <v>82504117.456959546</v>
      </c>
      <c r="H33" s="2">
        <v>10</v>
      </c>
      <c r="I33" s="3">
        <f>J33+K33</f>
        <v>5130563.2754134573</v>
      </c>
      <c r="J33" s="3">
        <f t="shared" si="4"/>
        <v>4000000</v>
      </c>
      <c r="K33" s="12">
        <f t="shared" si="9"/>
        <v>1130563.2754134568</v>
      </c>
      <c r="L33" s="12">
        <f t="shared" si="6"/>
        <v>80000000</v>
      </c>
    </row>
    <row r="34" spans="1:12" x14ac:dyDescent="0.25">
      <c r="A34" s="2">
        <v>11</v>
      </c>
      <c r="B34" s="13">
        <f t="shared" si="10"/>
        <v>4726671.4595376095</v>
      </c>
      <c r="C34" s="13">
        <f t="shared" si="7"/>
        <v>3519433.159710912</v>
      </c>
      <c r="D34" s="12">
        <f t="shared" si="8"/>
        <v>1207238.2998266977</v>
      </c>
      <c r="E34" s="12">
        <f t="shared" si="2"/>
        <v>78984684.297248632</v>
      </c>
      <c r="H34" s="2">
        <v>11</v>
      </c>
      <c r="I34" s="3">
        <f t="shared" si="3"/>
        <v>5135085.5285151107</v>
      </c>
      <c r="J34" s="3">
        <f t="shared" si="4"/>
        <v>4000000</v>
      </c>
      <c r="K34" s="12">
        <f t="shared" si="9"/>
        <v>1135085.5285151107</v>
      </c>
      <c r="L34" s="12">
        <f t="shared" si="6"/>
        <v>76000000</v>
      </c>
    </row>
    <row r="35" spans="1:12" x14ac:dyDescent="0.25">
      <c r="A35" s="2">
        <v>12</v>
      </c>
      <c r="B35" s="13">
        <f t="shared" si="10"/>
        <v>4726671.4595376095</v>
      </c>
      <c r="C35" s="13">
        <f t="shared" si="7"/>
        <v>3506000.7779060053</v>
      </c>
      <c r="D35" s="12">
        <f t="shared" si="8"/>
        <v>1220670.681631604</v>
      </c>
      <c r="E35" s="12">
        <f t="shared" si="2"/>
        <v>75478683.519342631</v>
      </c>
      <c r="H35" s="2">
        <v>12</v>
      </c>
      <c r="I35" s="3">
        <f t="shared" si="3"/>
        <v>5139625.8706291709</v>
      </c>
      <c r="J35" s="3">
        <f t="shared" si="4"/>
        <v>4000000</v>
      </c>
      <c r="K35" s="12">
        <f t="shared" si="9"/>
        <v>1139625.8706291711</v>
      </c>
      <c r="L35" s="12">
        <f t="shared" si="6"/>
        <v>72000000</v>
      </c>
    </row>
    <row r="36" spans="1:12" x14ac:dyDescent="0.25">
      <c r="A36" s="2">
        <v>13</v>
      </c>
      <c r="B36" s="13">
        <f t="shared" si="10"/>
        <v>4726671.4595376095</v>
      </c>
      <c r="C36" s="13">
        <f t="shared" si="7"/>
        <v>3501118.0951794791</v>
      </c>
      <c r="D36" s="12">
        <f>D35*(1+$B$18)</f>
        <v>1225553.3643581304</v>
      </c>
      <c r="E36" s="12">
        <f t="shared" si="2"/>
        <v>71977565.424163148</v>
      </c>
      <c r="H36" s="2">
        <v>13</v>
      </c>
      <c r="I36" s="3">
        <f t="shared" si="3"/>
        <v>5144184.3741116878</v>
      </c>
      <c r="J36" s="3">
        <f t="shared" si="4"/>
        <v>4000000</v>
      </c>
      <c r="K36" s="12">
        <f>K35*(1+$B$18)</f>
        <v>1144184.3741116878</v>
      </c>
      <c r="L36" s="12">
        <f t="shared" si="6"/>
        <v>68000000</v>
      </c>
    </row>
    <row r="37" spans="1:12" x14ac:dyDescent="0.25">
      <c r="A37" s="2">
        <v>14</v>
      </c>
      <c r="B37" s="13">
        <f t="shared" si="10"/>
        <v>4726671.4595376095</v>
      </c>
      <c r="C37" s="13">
        <f t="shared" si="7"/>
        <v>3496215.8817220465</v>
      </c>
      <c r="D37" s="12">
        <f t="shared" ref="D37:D41" si="11">D36*(1+$B$18)</f>
        <v>1230455.577815563</v>
      </c>
      <c r="E37" s="12">
        <f t="shared" si="2"/>
        <v>68481349.5424411</v>
      </c>
      <c r="H37" s="2">
        <v>14</v>
      </c>
      <c r="I37" s="3">
        <f t="shared" si="3"/>
        <v>5148761.1116081346</v>
      </c>
      <c r="J37" s="3">
        <f t="shared" si="4"/>
        <v>4000000</v>
      </c>
      <c r="K37" s="12">
        <f t="shared" ref="K37:K41" si="12">K36*(1+$B$18)</f>
        <v>1148761.1116081346</v>
      </c>
      <c r="L37" s="12">
        <f t="shared" si="6"/>
        <v>64000000</v>
      </c>
    </row>
    <row r="38" spans="1:12" x14ac:dyDescent="0.25">
      <c r="A38" s="2">
        <v>15</v>
      </c>
      <c r="B38" s="13">
        <f t="shared" si="10"/>
        <v>4726671.4595376095</v>
      </c>
      <c r="C38" s="13">
        <f t="shared" si="7"/>
        <v>3491294.0594107844</v>
      </c>
      <c r="D38" s="12">
        <f t="shared" si="11"/>
        <v>1235377.4001268253</v>
      </c>
      <c r="E38" s="12">
        <f t="shared" si="2"/>
        <v>64990055.483030319</v>
      </c>
      <c r="H38" s="2">
        <v>15</v>
      </c>
      <c r="I38" s="3">
        <f t="shared" si="3"/>
        <v>5153356.1560545675</v>
      </c>
      <c r="J38" s="3">
        <f t="shared" si="4"/>
        <v>4000000</v>
      </c>
      <c r="K38" s="12">
        <f t="shared" si="12"/>
        <v>1153356.1560545671</v>
      </c>
      <c r="L38" s="12">
        <f t="shared" si="6"/>
        <v>60000000</v>
      </c>
    </row>
    <row r="39" spans="1:12" x14ac:dyDescent="0.25">
      <c r="A39" s="2">
        <v>16</v>
      </c>
      <c r="B39" s="13">
        <f t="shared" si="10"/>
        <v>4726671.4595376095</v>
      </c>
      <c r="C39" s="13">
        <f t="shared" si="7"/>
        <v>3486352.5498102768</v>
      </c>
      <c r="D39" s="12">
        <f t="shared" si="11"/>
        <v>1240318.9097273326</v>
      </c>
      <c r="E39" s="12">
        <f t="shared" si="2"/>
        <v>61503702.933220044</v>
      </c>
      <c r="H39" s="2">
        <v>16</v>
      </c>
      <c r="I39" s="3">
        <f t="shared" si="3"/>
        <v>5157969.5806787852</v>
      </c>
      <c r="J39" s="3">
        <f t="shared" si="4"/>
        <v>4000000</v>
      </c>
      <c r="K39" s="12">
        <f t="shared" si="12"/>
        <v>1157969.5806787855</v>
      </c>
      <c r="L39" s="12">
        <f t="shared" si="6"/>
        <v>56000000</v>
      </c>
    </row>
    <row r="40" spans="1:12" x14ac:dyDescent="0.25">
      <c r="A40" s="2">
        <v>17</v>
      </c>
      <c r="B40" s="13">
        <f t="shared" si="10"/>
        <v>4726671.4595376095</v>
      </c>
      <c r="C40" s="13">
        <f t="shared" si="7"/>
        <v>3481391.2741713673</v>
      </c>
      <c r="D40" s="12">
        <f t="shared" si="11"/>
        <v>1245280.185366242</v>
      </c>
      <c r="E40" s="12">
        <f t="shared" si="2"/>
        <v>58022311.659048676</v>
      </c>
      <c r="H40" s="2">
        <v>17</v>
      </c>
      <c r="I40" s="3">
        <f t="shared" si="3"/>
        <v>5162601.4590015002</v>
      </c>
      <c r="J40" s="3">
        <f t="shared" si="4"/>
        <v>4000000</v>
      </c>
      <c r="K40" s="12">
        <f t="shared" si="12"/>
        <v>1162601.4590015006</v>
      </c>
      <c r="L40" s="12">
        <f t="shared" si="6"/>
        <v>52000000</v>
      </c>
    </row>
    <row r="41" spans="1:12" x14ac:dyDescent="0.25">
      <c r="A41" s="2">
        <v>18</v>
      </c>
      <c r="B41" s="13">
        <f t="shared" si="10"/>
        <v>4726671.4595376095</v>
      </c>
      <c r="C41" s="13">
        <f t="shared" si="7"/>
        <v>3476410.1534299026</v>
      </c>
      <c r="D41" s="12">
        <f t="shared" si="11"/>
        <v>1250261.3061077069</v>
      </c>
      <c r="E41" s="12">
        <f t="shared" si="2"/>
        <v>54545901.505618773</v>
      </c>
      <c r="H41" s="2">
        <v>18</v>
      </c>
      <c r="I41" s="3">
        <f t="shared" si="3"/>
        <v>5167251.8648375068</v>
      </c>
      <c r="J41" s="3">
        <f t="shared" si="4"/>
        <v>4000000</v>
      </c>
      <c r="K41" s="12">
        <f t="shared" si="12"/>
        <v>1167251.8648375066</v>
      </c>
      <c r="L41" s="12">
        <f t="shared" si="6"/>
        <v>48000000</v>
      </c>
    </row>
    <row r="42" spans="1:12" x14ac:dyDescent="0.25">
      <c r="A42" s="2">
        <v>19</v>
      </c>
      <c r="B42" s="13">
        <f t="shared" si="10"/>
        <v>4726671.4595376095</v>
      </c>
      <c r="C42" s="13">
        <f t="shared" si="7"/>
        <v>3471409.1082054721</v>
      </c>
      <c r="D42" s="12">
        <f>D41*(1+$B$18)</f>
        <v>1255262.3513321376</v>
      </c>
      <c r="E42" s="12">
        <f t="shared" si="2"/>
        <v>51074492.397413298</v>
      </c>
      <c r="H42" s="2">
        <v>19</v>
      </c>
      <c r="I42" s="3">
        <f t="shared" si="3"/>
        <v>5171920.8722968567</v>
      </c>
      <c r="J42" s="3">
        <f t="shared" si="4"/>
        <v>4000000</v>
      </c>
      <c r="K42" s="12">
        <f>K41*(1+$B$18)</f>
        <v>1171920.8722968565</v>
      </c>
      <c r="L42" s="12">
        <f t="shared" si="6"/>
        <v>44000000</v>
      </c>
    </row>
    <row r="43" spans="1:12" x14ac:dyDescent="0.25">
      <c r="A43" s="2">
        <v>20</v>
      </c>
      <c r="B43" s="13">
        <f>B42+F15</f>
        <v>7090007.1893064138</v>
      </c>
      <c r="C43" s="13">
        <f t="shared" si="7"/>
        <v>5829723.7885689475</v>
      </c>
      <c r="D43" s="12">
        <f t="shared" ref="D43:D47" si="13">D42*(1+$B$18)</f>
        <v>1260283.4007374661</v>
      </c>
      <c r="E43" s="12">
        <f t="shared" si="2"/>
        <v>45244768.608844355</v>
      </c>
      <c r="H43" s="2">
        <v>20</v>
      </c>
      <c r="I43" s="3">
        <f t="shared" si="3"/>
        <v>5176608.5557860434</v>
      </c>
      <c r="J43" s="3">
        <f t="shared" si="4"/>
        <v>4000000</v>
      </c>
      <c r="K43" s="12">
        <f t="shared" ref="K43:K47" si="14">K42*(1+$B$18)</f>
        <v>1176608.5557860439</v>
      </c>
      <c r="L43" s="12">
        <f t="shared" si="6"/>
        <v>40000000</v>
      </c>
    </row>
    <row r="44" spans="1:12" x14ac:dyDescent="0.25">
      <c r="A44" s="2">
        <v>21</v>
      </c>
      <c r="B44" s="13">
        <f>$B$42</f>
        <v>4726671.4595376095</v>
      </c>
      <c r="C44" s="13">
        <f t="shared" si="7"/>
        <v>3461346.9251971934</v>
      </c>
      <c r="D44" s="12">
        <f t="shared" si="13"/>
        <v>1265324.5343404158</v>
      </c>
      <c r="E44" s="12">
        <f t="shared" si="2"/>
        <v>41783421.683647163</v>
      </c>
      <c r="H44" s="2">
        <v>21</v>
      </c>
      <c r="I44" s="3">
        <f t="shared" si="3"/>
        <v>5181314.9900091877</v>
      </c>
      <c r="J44" s="3">
        <f t="shared" si="4"/>
        <v>4000000</v>
      </c>
      <c r="K44" s="12">
        <f t="shared" si="14"/>
        <v>1181314.990009188</v>
      </c>
      <c r="L44" s="12">
        <f t="shared" si="6"/>
        <v>36000000</v>
      </c>
    </row>
    <row r="45" spans="1:12" x14ac:dyDescent="0.25">
      <c r="A45" s="2">
        <v>22</v>
      </c>
      <c r="B45" s="13">
        <f t="shared" ref="B45:B53" si="15">$B$42</f>
        <v>4726671.4595376095</v>
      </c>
      <c r="C45" s="13">
        <f t="shared" si="7"/>
        <v>3456285.6270598322</v>
      </c>
      <c r="D45" s="12">
        <f t="shared" si="13"/>
        <v>1270385.8324777775</v>
      </c>
      <c r="E45" s="12">
        <f t="shared" si="2"/>
        <v>38327136.056587331</v>
      </c>
      <c r="H45" s="2">
        <v>22</v>
      </c>
      <c r="I45" s="3">
        <f t="shared" si="3"/>
        <v>5186040.2499692244</v>
      </c>
      <c r="J45" s="3">
        <f t="shared" si="4"/>
        <v>4000000</v>
      </c>
      <c r="K45" s="12">
        <f t="shared" si="14"/>
        <v>1186040.2499692247</v>
      </c>
      <c r="L45" s="12">
        <f t="shared" si="6"/>
        <v>32000000</v>
      </c>
    </row>
    <row r="46" spans="1:12" x14ac:dyDescent="0.25">
      <c r="A46" s="2">
        <v>23</v>
      </c>
      <c r="B46" s="13">
        <f t="shared" si="15"/>
        <v>4726671.4595376095</v>
      </c>
      <c r="C46" s="13">
        <f t="shared" si="7"/>
        <v>3451204.0837299209</v>
      </c>
      <c r="D46" s="12">
        <f t="shared" si="13"/>
        <v>1275467.3758076886</v>
      </c>
      <c r="E46" s="12">
        <f t="shared" si="2"/>
        <v>34875931.972857408</v>
      </c>
      <c r="H46" s="2">
        <v>23</v>
      </c>
      <c r="I46" s="3">
        <f t="shared" si="3"/>
        <v>5190784.4109691018</v>
      </c>
      <c r="J46" s="3">
        <f t="shared" si="4"/>
        <v>4000000</v>
      </c>
      <c r="K46" s="12">
        <f t="shared" si="14"/>
        <v>1190784.4109691016</v>
      </c>
      <c r="L46" s="12">
        <f t="shared" si="6"/>
        <v>28000000</v>
      </c>
    </row>
    <row r="47" spans="1:12" x14ac:dyDescent="0.25">
      <c r="A47" s="2">
        <v>24</v>
      </c>
      <c r="B47" s="13">
        <f t="shared" si="15"/>
        <v>4726671.4595376095</v>
      </c>
      <c r="C47" s="13">
        <f t="shared" si="7"/>
        <v>3446102.2142266901</v>
      </c>
      <c r="D47" s="12">
        <f t="shared" si="13"/>
        <v>1280569.2453109194</v>
      </c>
      <c r="E47" s="12">
        <f t="shared" si="2"/>
        <v>31429829.758630719</v>
      </c>
      <c r="H47" s="2">
        <v>24</v>
      </c>
      <c r="I47" s="3">
        <f t="shared" si="3"/>
        <v>5195547.5486129783</v>
      </c>
      <c r="J47" s="3">
        <f t="shared" si="4"/>
        <v>4000000</v>
      </c>
      <c r="K47" s="12">
        <f t="shared" si="14"/>
        <v>1195547.5486129781</v>
      </c>
      <c r="L47" s="12">
        <f t="shared" si="6"/>
        <v>24000000</v>
      </c>
    </row>
    <row r="48" spans="1:12" x14ac:dyDescent="0.25">
      <c r="A48" s="2">
        <v>25</v>
      </c>
      <c r="B48" s="13">
        <f t="shared" si="15"/>
        <v>4726671.4595376095</v>
      </c>
      <c r="C48" s="13">
        <f t="shared" si="7"/>
        <v>3440979.9372454463</v>
      </c>
      <c r="D48" s="12">
        <f>D47*(1+$B$18)</f>
        <v>1285691.522292163</v>
      </c>
      <c r="E48" s="12">
        <f t="shared" si="2"/>
        <v>27988849.821385272</v>
      </c>
      <c r="H48" s="2">
        <v>25</v>
      </c>
      <c r="I48" s="3">
        <f t="shared" si="3"/>
        <v>5200329.7388074305</v>
      </c>
      <c r="J48" s="3">
        <f t="shared" si="4"/>
        <v>4000000</v>
      </c>
      <c r="K48" s="12">
        <f>K47*(1+$B$18)</f>
        <v>1200329.73880743</v>
      </c>
      <c r="L48" s="12">
        <f t="shared" si="6"/>
        <v>20000000</v>
      </c>
    </row>
    <row r="49" spans="1:12" x14ac:dyDescent="0.25">
      <c r="A49" s="2">
        <v>26</v>
      </c>
      <c r="B49" s="13">
        <f t="shared" si="15"/>
        <v>4726671.4595376095</v>
      </c>
      <c r="C49" s="13">
        <f t="shared" si="7"/>
        <v>3435837.1711562779</v>
      </c>
      <c r="D49" s="12">
        <f t="shared" ref="D49:D53" si="16">D48*(1+$B$18)</f>
        <v>1290834.2883813316</v>
      </c>
      <c r="E49" s="12">
        <f t="shared" si="2"/>
        <v>24553012.650228992</v>
      </c>
      <c r="H49" s="2">
        <v>26</v>
      </c>
      <c r="I49" s="3">
        <f t="shared" si="3"/>
        <v>5205131.0577626601</v>
      </c>
      <c r="J49" s="3">
        <f t="shared" si="4"/>
        <v>4000000</v>
      </c>
      <c r="K49" s="12">
        <f t="shared" ref="K49:K53" si="17">K48*(1+$B$18)</f>
        <v>1205131.0577626599</v>
      </c>
      <c r="L49" s="12">
        <f t="shared" si="6"/>
        <v>16000000</v>
      </c>
    </row>
    <row r="50" spans="1:12" x14ac:dyDescent="0.25">
      <c r="A50" s="2">
        <v>27</v>
      </c>
      <c r="B50" s="13">
        <f t="shared" si="15"/>
        <v>4726671.4595376095</v>
      </c>
      <c r="C50" s="13">
        <f t="shared" si="7"/>
        <v>3430673.8340027528</v>
      </c>
      <c r="D50" s="12">
        <f t="shared" si="16"/>
        <v>1295997.6255348569</v>
      </c>
      <c r="E50" s="12">
        <f t="shared" si="2"/>
        <v>21122338.81622624</v>
      </c>
      <c r="H50" s="2">
        <v>27</v>
      </c>
      <c r="I50" s="3">
        <f t="shared" si="3"/>
        <v>5209951.5819937102</v>
      </c>
      <c r="J50" s="3">
        <f t="shared" si="4"/>
        <v>4000000</v>
      </c>
      <c r="K50" s="12">
        <f t="shared" si="17"/>
        <v>1209951.5819937105</v>
      </c>
      <c r="L50" s="12">
        <f t="shared" si="6"/>
        <v>12000000</v>
      </c>
    </row>
    <row r="51" spans="1:12" x14ac:dyDescent="0.25">
      <c r="A51" s="2">
        <v>28</v>
      </c>
      <c r="B51" s="13">
        <f t="shared" si="15"/>
        <v>4726671.4595376095</v>
      </c>
      <c r="C51" s="13">
        <f t="shared" si="7"/>
        <v>3425489.8435006132</v>
      </c>
      <c r="D51" s="12">
        <f t="shared" si="16"/>
        <v>1301181.6160369962</v>
      </c>
      <c r="E51" s="12">
        <f t="shared" si="2"/>
        <v>17696848.972725626</v>
      </c>
      <c r="H51" s="2">
        <v>28</v>
      </c>
      <c r="I51" s="3">
        <f t="shared" si="3"/>
        <v>5214791.3883216856</v>
      </c>
      <c r="J51" s="3">
        <f t="shared" si="4"/>
        <v>4000000</v>
      </c>
      <c r="K51" s="12">
        <f t="shared" si="17"/>
        <v>1214791.3883216854</v>
      </c>
      <c r="L51" s="12">
        <f t="shared" si="6"/>
        <v>8000000</v>
      </c>
    </row>
    <row r="52" spans="1:12" x14ac:dyDescent="0.25">
      <c r="A52" s="2">
        <v>29</v>
      </c>
      <c r="B52" s="13">
        <f t="shared" si="15"/>
        <v>4726671.4595376095</v>
      </c>
      <c r="C52" s="13">
        <f t="shared" si="7"/>
        <v>3420285.1170364656</v>
      </c>
      <c r="D52" s="12">
        <f t="shared" si="16"/>
        <v>1306386.3425011442</v>
      </c>
      <c r="E52" s="12">
        <f t="shared" si="2"/>
        <v>14276563.855689161</v>
      </c>
      <c r="H52" s="2">
        <v>29</v>
      </c>
      <c r="I52" s="3">
        <f t="shared" si="3"/>
        <v>5219650.5538749723</v>
      </c>
      <c r="J52" s="3">
        <f t="shared" si="4"/>
        <v>4000000</v>
      </c>
      <c r="K52" s="12">
        <f t="shared" si="17"/>
        <v>1219650.553874972</v>
      </c>
      <c r="L52" s="12">
        <f t="shared" si="6"/>
        <v>4000000</v>
      </c>
    </row>
    <row r="53" spans="1:12" x14ac:dyDescent="0.25">
      <c r="A53" s="2">
        <v>30</v>
      </c>
      <c r="B53" s="13">
        <f t="shared" si="15"/>
        <v>4726671.4595376095</v>
      </c>
      <c r="C53" s="13">
        <f t="shared" si="7"/>
        <v>3415059.5716664605</v>
      </c>
      <c r="D53" s="12">
        <f t="shared" si="16"/>
        <v>1311611.8878711488</v>
      </c>
      <c r="E53" s="12">
        <f t="shared" si="2"/>
        <v>10861504.2840227</v>
      </c>
      <c r="H53" s="2">
        <v>30</v>
      </c>
      <c r="I53" s="3">
        <f t="shared" si="3"/>
        <v>5224529.1560904719</v>
      </c>
      <c r="J53" s="3">
        <f t="shared" si="4"/>
        <v>4000000</v>
      </c>
      <c r="K53" s="12">
        <f t="shared" si="17"/>
        <v>1224529.1560904719</v>
      </c>
      <c r="L53" s="12">
        <f t="shared" si="6"/>
        <v>0</v>
      </c>
    </row>
  </sheetData>
  <mergeCells count="1">
    <mergeCell ref="A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Parcial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ALEJANDRA CLAVIJO RODRIGUEZ</dc:creator>
  <cp:lastModifiedBy>VALERY ALEJANDRA CLAVIJO RODRIGUEZ</cp:lastModifiedBy>
  <dcterms:created xsi:type="dcterms:W3CDTF">2026-09-16T16:27:25Z</dcterms:created>
  <dcterms:modified xsi:type="dcterms:W3CDTF">2026-09-16T16:28:54Z</dcterms:modified>
</cp:coreProperties>
</file>